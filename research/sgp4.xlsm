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vbaProject.bin" ContentType="application/vnd.ms-office.vbaProject"/>
  <Override PartName="/xl/worksheets/_rels/sheet1.xml.rels" ContentType="application/vnd.openxmlformats-package.relationships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GP4Main" sheetId="1" state="visible" r:id="rId3"/>
    <sheet name="Single" sheetId="2" state="visible" r:id="rId4"/>
    <sheet name="Multiple" sheetId="3" state="visible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<sst xmlns="http://schemas.openxmlformats.org/spreadsheetml/2006/main" count="45" uniqueCount="44">
  <si>
    <t xml:space="preserve">for 27 jun 00 18:50:19.734</t>
  </si>
  <si>
    <t xml:space="preserve">for 2 mar 09</t>
  </si>
  <si>
    <t xml:space="preserve">DUT1 (sec)</t>
  </si>
  <si>
    <t xml:space="preserve">These dut1 xp yp values are good for 2 mar 09</t>
  </si>
  <si>
    <t xml:space="preserve">xp (arcsec)</t>
  </si>
  <si>
    <t xml:space="preserve">yp (arcsec)</t>
  </si>
  <si>
    <t xml:space="preserve">Input a TLE</t>
  </si>
  <si>
    <t xml:space="preserve">Line1</t>
  </si>
  <si>
    <t xml:space="preserve">1 00005U 58002B   00179.78495062  .00000023  00000-0  28098-4 0  4753</t>
  </si>
  <si>
    <t xml:space="preserve">Line2</t>
  </si>
  <si>
    <t xml:space="preserve">2 00005  34.2682 344.7242 1859667 321.7664  19.3264 10.82419157413667     0.00      4320.0        360.00</t>
  </si>
  <si>
    <t xml:space="preserve">Int Latitude deg</t>
  </si>
  <si>
    <t xml:space="preserve">deg</t>
  </si>
  <si>
    <t xml:space="preserve">Int Longitude deg</t>
  </si>
  <si>
    <t xml:space="preserve">Int Altitude m</t>
  </si>
  <si>
    <t xml:space="preserve">km</t>
  </si>
  <si>
    <t xml:space="preserve">Read a TLE File</t>
  </si>
  <si>
    <t xml:space="preserve">FileName</t>
  </si>
  <si>
    <t xml:space="preserve">sgp4v56.tle</t>
  </si>
  <si>
    <t xml:space="preserve">Options</t>
  </si>
  <si>
    <t xml:space="preserve">opsmode</t>
  </si>
  <si>
    <t xml:space="preserve">a</t>
  </si>
  <si>
    <t xml:space="preserve">afspc a, improved i </t>
  </si>
  <si>
    <t xml:space="preserve">typerun</t>
  </si>
  <si>
    <t xml:space="preserve">v</t>
  </si>
  <si>
    <t xml:space="preserve">typerun = 'c' compare 1 year of full satcat data</t>
  </si>
  <si>
    <t xml:space="preserve">typerun = 'v' verification run, requires modified elm file with</t>
  </si>
  <si>
    <t xml:space="preserve">typerun = 'm' maunual operation- either mfe, epoch, or dayof yr</t>
  </si>
  <si>
    <t xml:space="preserve">typeinput</t>
  </si>
  <si>
    <t xml:space="preserve">e</t>
  </si>
  <si>
    <t xml:space="preserve">start stop times entered with tle</t>
  </si>
  <si>
    <t xml:space="preserve">input manually start and stop times</t>
  </si>
  <si>
    <t xml:space="preserve">whichconst</t>
  </si>
  <si>
    <t xml:space="preserve">72 wgs-72 values</t>
  </si>
  <si>
    <t xml:space="preserve">721 old wgs-72 values</t>
  </si>
  <si>
    <t xml:space="preserve">84 wgs-84 values</t>
  </si>
  <si>
    <t xml:space="preserve">        </t>
  </si>
  <si>
    <t xml:space="preserve">TEME results</t>
  </si>
  <si>
    <t xml:space="preserve">ro</t>
  </si>
  <si>
    <t xml:space="preserve">vo</t>
  </si>
  <si>
    <t xml:space="preserve">results for satellite 5 from c++ code</t>
  </si>
  <si>
    <t xml:space="preserve">ECEF results</t>
  </si>
  <si>
    <t xml:space="preserve">MFE</t>
  </si>
  <si>
    <t xml:space="preserve">m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</si>
</sst>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MM:SS.0"/>
  </numFmts>
  <fonts count="5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Arial"/>
      <family val="0"/>
    </font>
  </fonts>
  <fills count="5">
    <fill>
      <patternFill patternType="none"/>
    </fill>
    <fill>
      <patternFill patternType="gray125"/>
    </fill>
    <fill>
      <patternFill patternType="solid">
        <fgColor rgb="FFCCFFFF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CCFFCC"/>
        <bgColor rgb="FFCCFFFF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I3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0" activeCellId="0" sqref="D10"/>
    </sheetView>
  </sheetViews>
  <sheetFormatPr defaultRowHeight="12.75" zeroHeight="false" outlineLevelRow="0" outlineLevelCol="0"/>
  <cols>
    <col collapsed="false" customWidth="true" hidden="false" outlineLevel="0" max="1" min="1" style="0" width="3.29"/>
    <col collapsed="false" customWidth="true" hidden="false" outlineLevel="0" max="2" min="2" style="0" width="14.86"/>
    <col collapsed="false" customWidth="true" hidden="false" outlineLevel="0" max="3" min="3" style="0" width="9.58"/>
    <col collapsed="false" customWidth="true" hidden="false" outlineLevel="0" max="4" min="4" style="0" width="97.43"/>
    <col collapsed="false" customWidth="true" hidden="false" outlineLevel="0" max="1025" min="5" style="0" width="8.67"/>
  </cols>
  <sheetData>
    <row r="2" customFormat="false" ht="12.75" hidden="false" customHeight="false" outlineLevel="0" collapsed="false">
      <c r="F2" s="0" t="s">
        <v>0</v>
      </c>
      <c r="I2" s="0" t="s">
        <v>1</v>
      </c>
    </row>
    <row r="3" customFormat="false" ht="12.75" hidden="false" customHeight="false" outlineLevel="0" collapsed="false">
      <c r="B3" s="0" t="s">
        <v>2</v>
      </c>
      <c r="C3" s="1" t="n">
        <v>0.2052764</v>
      </c>
      <c r="D3" s="0" t="s">
        <v>3</v>
      </c>
      <c r="F3" s="1" t="n">
        <v>0.2052764</v>
      </c>
      <c r="I3" s="2" t="n">
        <v>0.3592009</v>
      </c>
    </row>
    <row r="4" customFormat="false" ht="12.75" hidden="false" customHeight="false" outlineLevel="0" collapsed="false">
      <c r="B4" s="0" t="s">
        <v>4</v>
      </c>
      <c r="C4" s="1" t="n">
        <v>0.108943</v>
      </c>
      <c r="F4" s="1" t="n">
        <v>0.108943</v>
      </c>
      <c r="I4" s="3" t="n">
        <v>-0.134733</v>
      </c>
    </row>
    <row r="5" customFormat="false" ht="12.75" hidden="false" customHeight="false" outlineLevel="0" collapsed="false">
      <c r="B5" s="0" t="s">
        <v>5</v>
      </c>
      <c r="C5" s="1" t="n">
        <v>0.285525</v>
      </c>
      <c r="D5" s="4" t="s">
        <v>6</v>
      </c>
      <c r="F5" s="1" t="n">
        <v>0.285525</v>
      </c>
      <c r="I5" s="2" t="n">
        <v>0.303216</v>
      </c>
    </row>
    <row r="6" customFormat="false" ht="12.75" hidden="false" customHeight="false" outlineLevel="0" collapsed="false">
      <c r="B6" s="0" t="s">
        <v>7</v>
      </c>
      <c r="D6" s="5" t="s">
        <v>8</v>
      </c>
    </row>
    <row r="7" customFormat="false" ht="12.75" hidden="false" customHeight="false" outlineLevel="0" collapsed="false">
      <c r="B7" s="0" t="s">
        <v>9</v>
      </c>
      <c r="D7" s="5" t="s">
        <v>10</v>
      </c>
    </row>
    <row r="8" customFormat="false" ht="12.75" hidden="false" customHeight="false" outlineLevel="0" collapsed="false">
      <c r="B8" s="0" t="s">
        <v>11</v>
      </c>
      <c r="C8" s="6" t="n">
        <v>-7.906635</v>
      </c>
      <c r="D8" s="0" t="s">
        <v>12</v>
      </c>
    </row>
    <row r="9" customFormat="false" ht="12.75" hidden="false" customHeight="false" outlineLevel="0" collapsed="false">
      <c r="B9" s="0" t="s">
        <v>13</v>
      </c>
      <c r="C9" s="6" t="n">
        <v>345.5975</v>
      </c>
      <c r="D9" s="0" t="s">
        <v>12</v>
      </c>
    </row>
    <row r="10" customFormat="false" ht="12.75" hidden="false" customHeight="false" outlineLevel="0" collapsed="false">
      <c r="B10" s="0" t="s">
        <v>14</v>
      </c>
      <c r="C10" s="6" t="n">
        <v>0.056</v>
      </c>
      <c r="D10" s="0" t="s">
        <v>15</v>
      </c>
    </row>
    <row r="11" customFormat="false" ht="12.75" hidden="false" customHeight="false" outlineLevel="0" collapsed="false">
      <c r="D11" s="4" t="s">
        <v>16</v>
      </c>
    </row>
    <row r="12" customFormat="false" ht="12.75" hidden="false" customHeight="false" outlineLevel="0" collapsed="false">
      <c r="B12" s="0" t="s">
        <v>17</v>
      </c>
      <c r="D12" s="5" t="s">
        <v>18</v>
      </c>
    </row>
    <row r="15" customFormat="false" ht="12.75" hidden="false" customHeight="false" outlineLevel="0" collapsed="false">
      <c r="B15" s="0" t="s">
        <v>19</v>
      </c>
    </row>
    <row r="16" customFormat="false" ht="12.75" hidden="false" customHeight="false" outlineLevel="0" collapsed="false">
      <c r="B16" s="0" t="s">
        <v>20</v>
      </c>
      <c r="C16" s="7" t="s">
        <v>21</v>
      </c>
      <c r="D16" s="0" t="s">
        <v>22</v>
      </c>
    </row>
    <row r="18" customFormat="false" ht="12.75" hidden="false" customHeight="false" outlineLevel="0" collapsed="false">
      <c r="B18" s="0" t="s">
        <v>23</v>
      </c>
      <c r="C18" s="7" t="s">
        <v>24</v>
      </c>
      <c r="D18" s="0" t="s">
        <v>25</v>
      </c>
    </row>
    <row r="19" customFormat="false" ht="12.75" hidden="false" customHeight="false" outlineLevel="0" collapsed="false">
      <c r="D19" s="0" t="s">
        <v>26</v>
      </c>
    </row>
    <row r="20" customFormat="false" ht="12.75" hidden="false" customHeight="false" outlineLevel="0" collapsed="false">
      <c r="D20" s="0" t="s">
        <v>27</v>
      </c>
    </row>
    <row r="22" customFormat="false" ht="12.75" hidden="false" customHeight="false" outlineLevel="0" collapsed="false">
      <c r="B22" s="0" t="s">
        <v>28</v>
      </c>
      <c r="C22" s="7" t="s">
        <v>29</v>
      </c>
      <c r="D22" s="0" t="s">
        <v>30</v>
      </c>
    </row>
    <row r="23" customFormat="false" ht="12.75" hidden="false" customHeight="false" outlineLevel="0" collapsed="false">
      <c r="D23" s="0" t="s">
        <v>31</v>
      </c>
    </row>
    <row r="25" customFormat="false" ht="12.75" hidden="false" customHeight="false" outlineLevel="0" collapsed="false">
      <c r="B25" s="0" t="s">
        <v>32</v>
      </c>
      <c r="C25" s="7" t="n">
        <v>72</v>
      </c>
      <c r="D25" s="0" t="s">
        <v>33</v>
      </c>
    </row>
    <row r="26" customFormat="false" ht="12.75" hidden="false" customHeight="false" outlineLevel="0" collapsed="false">
      <c r="D26" s="0" t="s">
        <v>34</v>
      </c>
    </row>
    <row r="27" customFormat="false" ht="12.75" hidden="false" customHeight="false" outlineLevel="0" collapsed="false">
      <c r="D27" s="0" t="s">
        <v>35</v>
      </c>
    </row>
    <row r="28" customFormat="false" ht="12.75" hidden="false" customHeight="false" outlineLevel="0" collapsed="false">
      <c r="D28" s="0" t="s">
        <v>36</v>
      </c>
    </row>
    <row r="30" customFormat="false" ht="15" hidden="false" customHeight="false" outlineLevel="0" collapsed="false"/>
    <row r="36" customFormat="false" ht="15" hidden="false" customHeight="false" outlineLevel="0" collapsed="false"/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E11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2.75" zeroHeight="false" outlineLevelRow="0" outlineLevelCol="0"/>
  <cols>
    <col collapsed="false" customWidth="true" hidden="false" outlineLevel="0" max="1" min="1" style="0" width="7.57"/>
    <col collapsed="false" customWidth="true" hidden="false" outlineLevel="0" max="2" min="2" style="0" width="5.01"/>
    <col collapsed="false" customWidth="true" hidden="false" outlineLevel="0" max="8" min="3" style="0" width="12.71"/>
    <col collapsed="false" customWidth="true" hidden="false" outlineLevel="0" max="9" min="9" style="0" width="8.67"/>
    <col collapsed="false" customWidth="true" hidden="false" outlineLevel="0" max="15" min="10" style="0" width="12.42"/>
    <col collapsed="false" customWidth="true" hidden="false" outlineLevel="0" max="1025" min="16" style="0" width="8.67"/>
  </cols>
  <sheetData>
    <row r="1" customFormat="false" ht="12.75" hidden="false" customHeight="false" outlineLevel="0" collapsed="false">
      <c r="A1" s="8" t="s">
        <v>37</v>
      </c>
      <c r="B1" s="8"/>
    </row>
    <row r="2" customFormat="false" ht="12.75" hidden="false" customHeight="false" outlineLevel="0" collapsed="false">
      <c r="B2" s="0" t="n">
        <v>0</v>
      </c>
      <c r="D2" s="0" t="s">
        <v>38</v>
      </c>
      <c r="G2" s="0" t="s">
        <v>39</v>
      </c>
      <c r="O2" s="8" t="s">
        <v>40</v>
      </c>
      <c r="P2" s="8"/>
      <c r="Q2" s="8"/>
    </row>
    <row r="3" customFormat="false" ht="12.75" hidden="false" customHeight="false" outlineLevel="0" collapsed="false">
      <c r="B3" s="0" t="n">
        <v>0</v>
      </c>
      <c r="C3" s="0" t="n">
        <v>7022.46529266405</v>
      </c>
      <c r="D3" s="0" t="n">
        <v>-1400.08296755363</v>
      </c>
      <c r="E3" s="0" t="n">
        <v>0.0399515541448114</v>
      </c>
      <c r="F3" s="0" t="n">
        <v>1.89384101451303</v>
      </c>
      <c r="G3" s="0" t="n">
        <v>6.40589375920982</v>
      </c>
      <c r="H3" s="0" t="n">
        <v>4.53480725035473</v>
      </c>
      <c r="J3" s="0" t="n">
        <f aca="false">C3-O3</f>
        <v>4.05361788580194E-009</v>
      </c>
      <c r="K3" s="0" t="n">
        <f aca="false">D3-P3</f>
        <v>-3.62888386007398E-009</v>
      </c>
      <c r="L3" s="0" t="n">
        <f aca="false">E3-Q3</f>
        <v>4.14481140381673E-009</v>
      </c>
      <c r="N3" s="0" t="n">
        <v>0</v>
      </c>
      <c r="O3" s="0" t="n">
        <v>7022.46529266</v>
      </c>
      <c r="P3" s="0" t="n">
        <v>-1400.08296755</v>
      </c>
      <c r="Q3" s="0" t="n">
        <v>0.03995155</v>
      </c>
      <c r="R3" s="0" t="n">
        <v>1.893841015</v>
      </c>
      <c r="S3" s="0" t="n">
        <v>6.405893759</v>
      </c>
      <c r="T3" s="0" t="n">
        <v>4.53480725</v>
      </c>
    </row>
    <row r="4" customFormat="false" ht="12.75" hidden="false" customHeight="false" outlineLevel="0" collapsed="false">
      <c r="B4" s="0" t="n">
        <v>360</v>
      </c>
      <c r="C4" s="0" t="n">
        <v>-7154.03120201578</v>
      </c>
      <c r="D4" s="0" t="n">
        <v>-3783.17682503647</v>
      </c>
      <c r="E4" s="0" t="n">
        <v>-3536.19412294218</v>
      </c>
      <c r="F4" s="0" t="n">
        <v>4.74188740899609</v>
      </c>
      <c r="G4" s="0" t="n">
        <v>-4.15181776537376</v>
      </c>
      <c r="H4" s="0" t="n">
        <v>-2.09393542490739</v>
      </c>
      <c r="J4" s="0" t="n">
        <f aca="false">C4-O4</f>
        <v>4.21914592152461E-009</v>
      </c>
      <c r="K4" s="0" t="n">
        <f aca="false">D4-P4</f>
        <v>3.52974893758073E-009</v>
      </c>
      <c r="L4" s="0" t="n">
        <f aca="false">E4-Q4</f>
        <v>-2.18278728425503E-009</v>
      </c>
      <c r="N4" s="0" t="n">
        <v>360</v>
      </c>
      <c r="O4" s="0" t="n">
        <v>-7154.03120202</v>
      </c>
      <c r="P4" s="0" t="n">
        <v>-3783.17682504</v>
      </c>
      <c r="Q4" s="0" t="n">
        <v>-3536.19412294</v>
      </c>
      <c r="R4" s="0" t="n">
        <v>4.741887409</v>
      </c>
      <c r="S4" s="0" t="n">
        <v>-4.151817765</v>
      </c>
      <c r="T4" s="0" t="n">
        <v>-2.093935425</v>
      </c>
      <c r="U4" s="0" t="n">
        <v>8635.341424</v>
      </c>
      <c r="V4" s="0" t="n">
        <v>0.185684</v>
      </c>
      <c r="W4" s="0" t="n">
        <v>34.26805</v>
      </c>
      <c r="X4" s="0" t="n">
        <v>347.97998</v>
      </c>
      <c r="Y4" s="0" t="n">
        <v>332.85746</v>
      </c>
      <c r="Z4" s="0" t="n">
        <v>252.46796</v>
      </c>
      <c r="AA4" s="0" t="n">
        <v>273.52819</v>
      </c>
      <c r="AB4" s="0" t="n">
        <v>2000</v>
      </c>
      <c r="AC4" s="0" t="n">
        <v>6</v>
      </c>
      <c r="AD4" s="0" t="n">
        <v>28</v>
      </c>
      <c r="AE4" s="9" t="n">
        <v>0.034950625</v>
      </c>
    </row>
    <row r="5" customFormat="false" ht="12.75" hidden="false" customHeight="false" outlineLevel="0" collapsed="false">
      <c r="B5" s="0" t="n">
        <v>720</v>
      </c>
      <c r="C5" s="0" t="n">
        <v>-7134.59340119314</v>
      </c>
      <c r="D5" s="0" t="n">
        <v>6531.68641333653</v>
      </c>
      <c r="E5" s="0" t="n">
        <v>3260.2718648256</v>
      </c>
      <c r="F5" s="0" t="n">
        <v>-4.11379302716132</v>
      </c>
      <c r="G5" s="0" t="n">
        <v>-2.91192203862292</v>
      </c>
      <c r="H5" s="0" t="n">
        <v>-2.55732785093054</v>
      </c>
      <c r="J5" s="0" t="n">
        <f aca="false">C5-O5</f>
        <v>-3.13957571052015E-009</v>
      </c>
      <c r="K5" s="0" t="n">
        <f aca="false">D5-P5</f>
        <v>-3.47154127666727E-009</v>
      </c>
      <c r="L5" s="0" t="n">
        <f aca="false">E5-Q5</f>
        <v>-4.40286385128275E-009</v>
      </c>
      <c r="N5" s="0" t="n">
        <v>720</v>
      </c>
      <c r="O5" s="0" t="n">
        <v>-7134.59340119</v>
      </c>
      <c r="P5" s="0" t="n">
        <v>6531.68641334</v>
      </c>
      <c r="Q5" s="0" t="n">
        <v>3260.27186483</v>
      </c>
      <c r="R5" s="0" t="n">
        <v>-4.113793027</v>
      </c>
      <c r="S5" s="0" t="n">
        <v>-2.911922039</v>
      </c>
      <c r="T5" s="0" t="n">
        <v>-2.557327851</v>
      </c>
      <c r="U5" s="0" t="n">
        <v>8635.86159</v>
      </c>
      <c r="V5" s="0" t="n">
        <v>0.185142</v>
      </c>
      <c r="W5" s="0" t="n">
        <v>34.27271</v>
      </c>
      <c r="X5" s="0" t="n">
        <v>347.16975</v>
      </c>
      <c r="Y5" s="0" t="n">
        <v>334.22005</v>
      </c>
      <c r="Z5" s="0" t="n">
        <v>171.22619</v>
      </c>
      <c r="AA5" s="0" t="n">
        <v>167.48204</v>
      </c>
      <c r="AB5" s="0" t="n">
        <v>2000</v>
      </c>
      <c r="AC5" s="0" t="n">
        <v>6</v>
      </c>
      <c r="AD5" s="0" t="n">
        <v>28</v>
      </c>
      <c r="AE5" s="9" t="n">
        <v>0.284950625</v>
      </c>
    </row>
    <row r="6" customFormat="false" ht="12.75" hidden="false" customHeight="false" outlineLevel="0" collapsed="false">
      <c r="B6" s="0" t="n">
        <v>1080</v>
      </c>
      <c r="C6" s="0" t="n">
        <v>5568.53901181205</v>
      </c>
      <c r="D6" s="0" t="n">
        <v>4492.0699259055</v>
      </c>
      <c r="E6" s="0" t="n">
        <v>3863.87641982909</v>
      </c>
      <c r="F6" s="0" t="n">
        <v>-4.2091064755933</v>
      </c>
      <c r="G6" s="0" t="n">
        <v>5.15971988847955</v>
      </c>
      <c r="H6" s="0" t="n">
        <v>2.74485297955469</v>
      </c>
      <c r="J6" s="0" t="n">
        <f aca="false">C6-O6</f>
        <v>2.04909156309441E-009</v>
      </c>
      <c r="K6" s="0" t="n">
        <f aca="false">D6-P6</f>
        <v>-4.49563231086358E-009</v>
      </c>
      <c r="L6" s="0" t="n">
        <f aca="false">E6-Q6</f>
        <v>-9.08130459720269E-010</v>
      </c>
      <c r="N6" s="0" t="n">
        <v>1080</v>
      </c>
      <c r="O6" s="0" t="n">
        <v>5568.53901181</v>
      </c>
      <c r="P6" s="0" t="n">
        <v>4492.06992591</v>
      </c>
      <c r="Q6" s="0" t="n">
        <v>3863.87641983</v>
      </c>
      <c r="R6" s="0" t="n">
        <v>-4.209106476</v>
      </c>
      <c r="S6" s="0" t="n">
        <v>5.159719888</v>
      </c>
      <c r="T6" s="0" t="n">
        <v>2.74485298</v>
      </c>
      <c r="U6" s="0" t="n">
        <v>8633.614993</v>
      </c>
      <c r="V6" s="0" t="n">
        <v>0.185699</v>
      </c>
      <c r="W6" s="0" t="n">
        <v>34.26281</v>
      </c>
      <c r="X6" s="0" t="n">
        <v>346.44442</v>
      </c>
      <c r="Y6" s="0" t="n">
        <v>335.36006</v>
      </c>
      <c r="Z6" s="0" t="n">
        <v>82.20992</v>
      </c>
      <c r="AA6" s="0" t="n">
        <v>61.63454</v>
      </c>
      <c r="AB6" s="0" t="n">
        <v>2000</v>
      </c>
      <c r="AC6" s="0" t="n">
        <v>6</v>
      </c>
      <c r="AD6" s="0" t="n">
        <v>28</v>
      </c>
      <c r="AE6" s="9" t="n">
        <v>0.534950625</v>
      </c>
    </row>
    <row r="7" customFormat="false" ht="12.75" hidden="false" customHeight="false" outlineLevel="0" collapsed="false">
      <c r="B7" s="0" t="n">
        <v>1440</v>
      </c>
      <c r="C7" s="0" t="n">
        <v>-938.559239429415</v>
      </c>
      <c r="D7" s="0" t="n">
        <v>-6268.18748831393</v>
      </c>
      <c r="E7" s="0" t="n">
        <v>-4294.02924751162</v>
      </c>
      <c r="F7" s="0" t="n">
        <v>7.53610520925609</v>
      </c>
      <c r="G7" s="0" t="n">
        <v>-0.42712770712359</v>
      </c>
      <c r="H7" s="0" t="n">
        <v>0.989878079559136</v>
      </c>
      <c r="J7" s="0" t="n">
        <f aca="false">C7-O7</f>
        <v>5.85373527428601E-010</v>
      </c>
      <c r="K7" s="0" t="n">
        <f aca="false">D7-P7</f>
        <v>-3.92901711165905E-009</v>
      </c>
      <c r="L7" s="0" t="n">
        <f aca="false">E7-Q7</f>
        <v>-1.62435753736645E-009</v>
      </c>
      <c r="N7" s="0" t="n">
        <v>1440</v>
      </c>
      <c r="O7" s="0" t="n">
        <v>-938.55923943</v>
      </c>
      <c r="P7" s="0" t="n">
        <v>-6268.18748831</v>
      </c>
      <c r="Q7" s="0" t="n">
        <v>-4294.02924751</v>
      </c>
      <c r="R7" s="0" t="n">
        <v>7.536105209</v>
      </c>
      <c r="S7" s="0" t="n">
        <v>-0.427127707</v>
      </c>
      <c r="T7" s="0" t="n">
        <v>0.98987808</v>
      </c>
      <c r="U7" s="0" t="n">
        <v>8632.098491</v>
      </c>
      <c r="V7" s="0" t="n">
        <v>0.185801</v>
      </c>
      <c r="W7" s="0" t="n">
        <v>34.25571</v>
      </c>
      <c r="X7" s="0" t="n">
        <v>345.65357</v>
      </c>
      <c r="Y7" s="0" t="n">
        <v>336.33937</v>
      </c>
      <c r="Z7" s="0" t="n">
        <v>298.48507</v>
      </c>
      <c r="AA7" s="0" t="n">
        <v>315.94715</v>
      </c>
      <c r="AB7" s="0" t="n">
        <v>2000</v>
      </c>
      <c r="AC7" s="0" t="n">
        <v>6</v>
      </c>
      <c r="AD7" s="0" t="n">
        <v>28</v>
      </c>
      <c r="AE7" s="9" t="n">
        <v>0.784950625</v>
      </c>
    </row>
    <row r="8" customFormat="false" ht="12.75" hidden="false" customHeight="false" outlineLevel="0" collapsed="false">
      <c r="B8" s="0" t="n">
        <v>1800</v>
      </c>
      <c r="C8" s="0" t="n">
        <v>-9680.56121728132</v>
      </c>
      <c r="D8" s="0" t="n">
        <v>2802.47771353915</v>
      </c>
      <c r="E8" s="0" t="n">
        <v>124.106880382497</v>
      </c>
      <c r="F8" s="0" t="n">
        <v>-0.905874102159194</v>
      </c>
      <c r="G8" s="0" t="n">
        <v>-4.65946796991956</v>
      </c>
      <c r="H8" s="0" t="n">
        <v>-3.22734751671272</v>
      </c>
      <c r="J8" s="0" t="n">
        <f aca="false">C8-O8</f>
        <v>-1.3169483281672E-009</v>
      </c>
      <c r="K8" s="0" t="n">
        <f aca="false">D8-P8</f>
        <v>-8.53106030263007E-010</v>
      </c>
      <c r="L8" s="0" t="n">
        <f aca="false">E8-Q8</f>
        <v>2.49670506491384E-009</v>
      </c>
      <c r="N8" s="0" t="n">
        <v>1800</v>
      </c>
      <c r="O8" s="0" t="n">
        <v>-9680.56121728</v>
      </c>
      <c r="P8" s="0" t="n">
        <v>2802.47771354</v>
      </c>
      <c r="Q8" s="0" t="n">
        <v>124.10688038</v>
      </c>
      <c r="R8" s="0" t="n">
        <v>-0.905874102</v>
      </c>
      <c r="S8" s="0" t="n">
        <v>-4.65946797</v>
      </c>
      <c r="T8" s="0" t="n">
        <v>-3.227347517</v>
      </c>
      <c r="U8" s="0" t="n">
        <v>8637.122332</v>
      </c>
      <c r="V8" s="0" t="n">
        <v>0.185064</v>
      </c>
      <c r="W8" s="0" t="n">
        <v>34.28086</v>
      </c>
      <c r="X8" s="0" t="n">
        <v>344.88964</v>
      </c>
      <c r="Y8" s="0" t="n">
        <v>337.42106</v>
      </c>
      <c r="Z8" s="0" t="n">
        <v>201.32626</v>
      </c>
      <c r="AA8" s="0" t="n">
        <v>210.16351</v>
      </c>
      <c r="AB8" s="0" t="n">
        <v>2000</v>
      </c>
      <c r="AC8" s="0" t="n">
        <v>6</v>
      </c>
      <c r="AD8" s="0" t="n">
        <v>29</v>
      </c>
      <c r="AE8" s="9" t="n">
        <v>0.034950625</v>
      </c>
    </row>
    <row r="9" customFormat="false" ht="12.75" hidden="false" customHeight="false" outlineLevel="0" collapsed="false">
      <c r="B9" s="0" t="n">
        <v>2160</v>
      </c>
      <c r="C9" s="0" t="n">
        <v>190.197969878478</v>
      </c>
      <c r="D9" s="0" t="n">
        <v>7746.96653613531</v>
      </c>
      <c r="E9" s="0" t="n">
        <v>5110.00675411867</v>
      </c>
      <c r="F9" s="0" t="n">
        <v>-6.11232514201382</v>
      </c>
      <c r="G9" s="0" t="n">
        <v>1.52700818352045</v>
      </c>
      <c r="H9" s="0" t="n">
        <v>-0.139152357882592</v>
      </c>
      <c r="J9" s="0" t="n">
        <f aca="false">C9-O9</f>
        <v>-1.52175516632269E-009</v>
      </c>
      <c r="K9" s="0" t="n">
        <f aca="false">D9-P9</f>
        <v>-4.69117367174476E-009</v>
      </c>
      <c r="L9" s="0" t="n">
        <f aca="false">E9-Q9</f>
        <v>-1.33059074869379E-009</v>
      </c>
      <c r="N9" s="0" t="n">
        <v>2160</v>
      </c>
      <c r="O9" s="0" t="n">
        <v>190.19796988</v>
      </c>
      <c r="P9" s="0" t="n">
        <v>7746.96653614</v>
      </c>
      <c r="Q9" s="0" t="n">
        <v>5110.00675412</v>
      </c>
      <c r="R9" s="0" t="n">
        <v>-6.112325142</v>
      </c>
      <c r="S9" s="0" t="n">
        <v>1.527008184</v>
      </c>
      <c r="T9" s="0" t="n">
        <v>-0.139152358</v>
      </c>
      <c r="U9" s="0" t="n">
        <v>8633.131437</v>
      </c>
      <c r="V9" s="0" t="n">
        <v>0.185639</v>
      </c>
      <c r="W9" s="0" t="n">
        <v>34.25663</v>
      </c>
      <c r="X9" s="0" t="n">
        <v>344.11473</v>
      </c>
      <c r="Y9" s="0" t="n">
        <v>338.71747</v>
      </c>
      <c r="Z9" s="0" t="n">
        <v>123.33032</v>
      </c>
      <c r="AA9" s="0" t="n">
        <v>104.1764</v>
      </c>
      <c r="AB9" s="0" t="n">
        <v>2000</v>
      </c>
      <c r="AC9" s="0" t="n">
        <v>6</v>
      </c>
      <c r="AD9" s="0" t="n">
        <v>29</v>
      </c>
      <c r="AE9" s="9" t="n">
        <v>0.284950625</v>
      </c>
    </row>
    <row r="10" customFormat="false" ht="12.75" hidden="false" customHeight="false" outlineLevel="0" collapsed="false">
      <c r="B10" s="0" t="n">
        <v>2520</v>
      </c>
      <c r="C10" s="0" t="n">
        <v>5579.55640115738</v>
      </c>
      <c r="D10" s="0" t="n">
        <v>-3995.61396789427</v>
      </c>
      <c r="E10" s="0" t="n">
        <v>-1518.82108966029</v>
      </c>
      <c r="F10" s="0" t="n">
        <v>4.76792748284386</v>
      </c>
      <c r="G10" s="0" t="n">
        <v>5.12318530095396</v>
      </c>
      <c r="H10" s="0" t="n">
        <v>4.27683735450167</v>
      </c>
      <c r="J10" s="0" t="n">
        <f aca="false">C10-O10</f>
        <v>-2.6238922146149E-009</v>
      </c>
      <c r="K10" s="0" t="n">
        <f aca="false">D10-P10</f>
        <v>-4.27235136157833E-009</v>
      </c>
      <c r="L10" s="0" t="n">
        <f aca="false">E10-Q10</f>
        <v>-2.93994162348099E-010</v>
      </c>
      <c r="N10" s="0" t="n">
        <v>2520</v>
      </c>
      <c r="O10" s="0" t="n">
        <v>5579.55640116</v>
      </c>
      <c r="P10" s="0" t="n">
        <v>-3995.61396789</v>
      </c>
      <c r="Q10" s="0" t="n">
        <v>-1518.82108966</v>
      </c>
      <c r="R10" s="0" t="n">
        <v>4.767927483</v>
      </c>
      <c r="S10" s="0" t="n">
        <v>5.123185301</v>
      </c>
      <c r="T10" s="0" t="n">
        <v>4.276837355</v>
      </c>
      <c r="U10" s="0" t="n">
        <v>8637.302528</v>
      </c>
      <c r="V10" s="0" t="n">
        <v>0.186337</v>
      </c>
      <c r="W10" s="0" t="n">
        <v>34.27714</v>
      </c>
      <c r="X10" s="0" t="n">
        <v>343.34125</v>
      </c>
      <c r="Y10" s="0" t="n">
        <v>339.7361</v>
      </c>
      <c r="Z10" s="0" t="n">
        <v>357.70207</v>
      </c>
      <c r="AA10" s="0" t="n">
        <v>358.45141</v>
      </c>
      <c r="AB10" s="0" t="n">
        <v>2000</v>
      </c>
      <c r="AC10" s="0" t="n">
        <v>6</v>
      </c>
      <c r="AD10" s="0" t="n">
        <v>29</v>
      </c>
      <c r="AE10" s="9" t="n">
        <v>0.534950625</v>
      </c>
    </row>
    <row r="11" customFormat="false" ht="12.75" hidden="false" customHeight="false" outlineLevel="0" collapsed="false">
      <c r="B11" s="0" t="n">
        <v>2880</v>
      </c>
      <c r="C11" s="0" t="n">
        <v>-8650.7308221895</v>
      </c>
      <c r="D11" s="0" t="n">
        <v>-1914.93811525184</v>
      </c>
      <c r="E11" s="0" t="n">
        <v>-3007.03603442808</v>
      </c>
      <c r="F11" s="0" t="n">
        <v>3.06716512654273</v>
      </c>
      <c r="G11" s="0" t="n">
        <v>-4.82838406844366</v>
      </c>
      <c r="H11" s="0" t="n">
        <v>-2.51532283572179</v>
      </c>
      <c r="J11" s="0" t="n">
        <f aca="false">C11-O11</f>
        <v>4.98403096571565E-010</v>
      </c>
      <c r="K11" s="0" t="n">
        <f aca="false">D11-P11</f>
        <v>-1.8376340449322E-009</v>
      </c>
      <c r="L11" s="0" t="n">
        <f aca="false">E11-Q11</f>
        <v>1.92358129424974E-009</v>
      </c>
      <c r="N11" s="0" t="n">
        <v>2880</v>
      </c>
      <c r="O11" s="0" t="n">
        <v>-8650.73082219</v>
      </c>
      <c r="P11" s="0" t="n">
        <v>-1914.93811525</v>
      </c>
      <c r="Q11" s="0" t="n">
        <v>-3007.03603443</v>
      </c>
      <c r="R11" s="0" t="n">
        <v>3.067165127</v>
      </c>
      <c r="S11" s="0" t="n">
        <v>-4.828384068</v>
      </c>
      <c r="T11" s="0" t="n">
        <v>-2.515322836</v>
      </c>
      <c r="U11" s="0" t="n">
        <v>8636.101255</v>
      </c>
      <c r="V11" s="0" t="n">
        <v>0.185538</v>
      </c>
      <c r="W11" s="0" t="n">
        <v>34.27261</v>
      </c>
      <c r="X11" s="0" t="n">
        <v>342.61158</v>
      </c>
      <c r="Y11" s="0" t="n">
        <v>340.69038</v>
      </c>
      <c r="Z11" s="0" t="n">
        <v>234.10932</v>
      </c>
      <c r="AA11" s="0" t="n">
        <v>252.77706</v>
      </c>
      <c r="AB11" s="0" t="n">
        <v>2000</v>
      </c>
      <c r="AC11" s="0" t="n">
        <v>6</v>
      </c>
      <c r="AD11" s="0" t="n">
        <v>29</v>
      </c>
      <c r="AE11" s="9" t="n">
        <v>0.784950625</v>
      </c>
    </row>
    <row r="12" customFormat="false" ht="12.75" hidden="false" customHeight="false" outlineLevel="0" collapsed="false">
      <c r="B12" s="0" t="n">
        <v>3240</v>
      </c>
      <c r="C12" s="0" t="n">
        <v>-5429.79204164443</v>
      </c>
      <c r="D12" s="0" t="n">
        <v>7574.36493792438</v>
      </c>
      <c r="E12" s="0" t="n">
        <v>3747.39305235889</v>
      </c>
      <c r="F12" s="0" t="n">
        <v>-4.99944210960405</v>
      </c>
      <c r="G12" s="0" t="n">
        <v>-1.80056142230491</v>
      </c>
      <c r="H12" s="0" t="n">
        <v>-2.22939283024086</v>
      </c>
      <c r="J12" s="0" t="n">
        <f aca="false">C12-O12</f>
        <v>-4.43014869233593E-009</v>
      </c>
      <c r="K12" s="0" t="n">
        <f aca="false">D12-P12</f>
        <v>4.37921698903665E-009</v>
      </c>
      <c r="L12" s="0" t="n">
        <f aca="false">E12-Q12</f>
        <v>-1.11140252556652E-009</v>
      </c>
      <c r="N12" s="0" t="n">
        <v>3240</v>
      </c>
      <c r="O12" s="0" t="n">
        <v>-5429.79204164</v>
      </c>
      <c r="P12" s="0" t="n">
        <v>7574.36493792</v>
      </c>
      <c r="Q12" s="0" t="n">
        <v>3747.39305236</v>
      </c>
      <c r="R12" s="0" t="n">
        <v>-4.99944211</v>
      </c>
      <c r="S12" s="0" t="n">
        <v>-1.800561422</v>
      </c>
      <c r="T12" s="0" t="n">
        <v>-2.22939283</v>
      </c>
      <c r="U12" s="0" t="n">
        <v>8635.475338</v>
      </c>
      <c r="V12" s="0" t="n">
        <v>0.185331</v>
      </c>
      <c r="W12" s="0" t="n">
        <v>34.26974</v>
      </c>
      <c r="X12" s="0" t="n">
        <v>341.80144</v>
      </c>
      <c r="Y12" s="0" t="n">
        <v>342.10905</v>
      </c>
      <c r="Z12" s="0" t="n">
        <v>156.39692</v>
      </c>
      <c r="AA12" s="0" t="n">
        <v>146.67615</v>
      </c>
      <c r="AB12" s="0" t="n">
        <v>2000</v>
      </c>
      <c r="AC12" s="0" t="n">
        <v>6</v>
      </c>
      <c r="AD12" s="0" t="n">
        <v>30</v>
      </c>
      <c r="AE12" s="9" t="n">
        <v>0.034950625</v>
      </c>
    </row>
    <row r="13" customFormat="false" ht="12.75" hidden="false" customHeight="false" outlineLevel="0" collapsed="false">
      <c r="B13" s="0" t="n">
        <v>3600</v>
      </c>
      <c r="C13" s="0" t="n">
        <v>6759.04583721789</v>
      </c>
      <c r="D13" s="0" t="n">
        <v>2001.58198219672</v>
      </c>
      <c r="E13" s="0" t="n">
        <v>2783.55192532928</v>
      </c>
      <c r="F13" s="0" t="n">
        <v>-2.18099394717676</v>
      </c>
      <c r="G13" s="0" t="n">
        <v>6.40208560304708</v>
      </c>
      <c r="H13" s="0" t="n">
        <v>3.64472395160484</v>
      </c>
      <c r="J13" s="0" t="n">
        <f aca="false">C13-O13</f>
        <v>-2.1063897293061E-009</v>
      </c>
      <c r="K13" s="0" t="n">
        <f aca="false">D13-P13</f>
        <v>-3.27668203681242E-009</v>
      </c>
      <c r="L13" s="0" t="n">
        <f aca="false">E13-Q13</f>
        <v>-7.189555617515E-010</v>
      </c>
      <c r="N13" s="0" t="n">
        <v>3600</v>
      </c>
      <c r="O13" s="0" t="n">
        <v>6759.04583722</v>
      </c>
      <c r="P13" s="0" t="n">
        <v>2001.5819822</v>
      </c>
      <c r="Q13" s="0" t="n">
        <v>2783.55192533</v>
      </c>
      <c r="R13" s="0" t="n">
        <v>-2.180993947</v>
      </c>
      <c r="S13" s="0" t="n">
        <v>6.402085603</v>
      </c>
      <c r="T13" s="0" t="n">
        <v>3.644723952</v>
      </c>
      <c r="U13" s="0" t="n">
        <v>8635.195534</v>
      </c>
      <c r="V13" s="0" t="n">
        <v>0.185973</v>
      </c>
      <c r="W13" s="0" t="n">
        <v>34.27008</v>
      </c>
      <c r="X13" s="0" t="n">
        <v>341.07931</v>
      </c>
      <c r="Y13" s="0" t="n">
        <v>343.22923</v>
      </c>
      <c r="Z13" s="0" t="n">
        <v>57.48219</v>
      </c>
      <c r="AA13" s="0" t="n">
        <v>40.84371</v>
      </c>
      <c r="AB13" s="0" t="n">
        <v>2000</v>
      </c>
      <c r="AC13" s="0" t="n">
        <v>6</v>
      </c>
      <c r="AD13" s="0" t="n">
        <v>30</v>
      </c>
      <c r="AE13" s="9" t="n">
        <v>0.284950625</v>
      </c>
    </row>
    <row r="14" customFormat="false" ht="12.75" hidden="false" customHeight="false" outlineLevel="0" collapsed="false">
      <c r="B14" s="0" t="n">
        <v>3960</v>
      </c>
      <c r="C14" s="0" t="n">
        <v>-3791.44531558941</v>
      </c>
      <c r="D14" s="0" t="n">
        <v>-5712.95617893909</v>
      </c>
      <c r="E14" s="0" t="n">
        <v>-4533.48630714372</v>
      </c>
      <c r="F14" s="0" t="n">
        <v>6.66881749254763</v>
      </c>
      <c r="G14" s="0" t="n">
        <v>-2.51638232652738</v>
      </c>
      <c r="H14" s="0" t="n">
        <v>-0.0823843537472361</v>
      </c>
      <c r="J14" s="0" t="n">
        <f aca="false">C14-O14</f>
        <v>5.93900040257722E-010</v>
      </c>
      <c r="K14" s="0" t="n">
        <f aca="false">D14-P14</f>
        <v>9.11313691176474E-010</v>
      </c>
      <c r="L14" s="0" t="n">
        <f aca="false">E14-Q14</f>
        <v>-3.72256181435659E-009</v>
      </c>
      <c r="N14" s="0" t="n">
        <v>3960</v>
      </c>
      <c r="O14" s="0" t="n">
        <v>-3791.44531559</v>
      </c>
      <c r="P14" s="0" t="n">
        <v>-5712.95617894</v>
      </c>
      <c r="Q14" s="0" t="n">
        <v>-4533.48630714</v>
      </c>
      <c r="R14" s="0" t="n">
        <v>6.668817493</v>
      </c>
      <c r="S14" s="0" t="n">
        <v>-2.516382327</v>
      </c>
      <c r="T14" s="0" t="n">
        <v>-0.082384354</v>
      </c>
      <c r="U14" s="0" t="n">
        <v>8632.729753</v>
      </c>
      <c r="V14" s="0" t="n">
        <v>0.185854</v>
      </c>
      <c r="W14" s="0" t="n">
        <v>34.25654</v>
      </c>
      <c r="X14" s="0" t="n">
        <v>340.29915</v>
      </c>
      <c r="Y14" s="0" t="n">
        <v>344.15875</v>
      </c>
      <c r="Z14" s="0" t="n">
        <v>274.3067</v>
      </c>
      <c r="AA14" s="0" t="n">
        <v>295.20327</v>
      </c>
      <c r="AB14" s="0" t="n">
        <v>2000</v>
      </c>
      <c r="AC14" s="0" t="n">
        <v>6</v>
      </c>
      <c r="AD14" s="0" t="n">
        <v>30</v>
      </c>
      <c r="AE14" s="9" t="n">
        <v>0.534950625</v>
      </c>
    </row>
    <row r="15" customFormat="false" ht="12.75" hidden="false" customHeight="false" outlineLevel="0" collapsed="false">
      <c r="B15" s="0" t="n">
        <v>4320</v>
      </c>
      <c r="C15" s="0" t="n">
        <v>-9060.47373569428</v>
      </c>
      <c r="D15" s="0" t="n">
        <v>4658.70952502295</v>
      </c>
      <c r="E15" s="0" t="n">
        <v>813.686731534319</v>
      </c>
      <c r="F15" s="0" t="n">
        <v>-2.23283278274274</v>
      </c>
      <c r="G15" s="0" t="n">
        <v>-4.1104534899369</v>
      </c>
      <c r="H15" s="0" t="n">
        <v>-3.15734543345735</v>
      </c>
      <c r="J15" s="0" t="n">
        <f aca="false">C15-O15</f>
        <v>-4.27644408773631E-009</v>
      </c>
      <c r="K15" s="0" t="n">
        <f aca="false">D15-P15</f>
        <v>2.95221980195493E-009</v>
      </c>
      <c r="L15" s="0" t="n">
        <f aca="false">E15-Q15</f>
        <v>4.31930402555736E-009</v>
      </c>
      <c r="N15" s="0" t="n">
        <v>4320</v>
      </c>
      <c r="O15" s="0" t="n">
        <v>-9060.47373569</v>
      </c>
      <c r="P15" s="0" t="n">
        <v>4658.70952502</v>
      </c>
      <c r="Q15" s="0" t="n">
        <v>813.68673153</v>
      </c>
      <c r="R15" s="0" t="n">
        <v>-2.232832783</v>
      </c>
      <c r="S15" s="0" t="n">
        <v>-4.11045349</v>
      </c>
      <c r="T15" s="0" t="n">
        <v>-3.157345433</v>
      </c>
      <c r="U15" s="0" t="n">
        <v>8637.006122</v>
      </c>
      <c r="V15" s="0" t="n">
        <v>0.18508</v>
      </c>
      <c r="W15" s="0" t="n">
        <v>34.28036</v>
      </c>
      <c r="X15" s="0" t="n">
        <v>339.51733</v>
      </c>
      <c r="Y15" s="0" t="n">
        <v>345.34018</v>
      </c>
      <c r="Z15" s="0" t="n">
        <v>186.53394</v>
      </c>
      <c r="AA15" s="0" t="n">
        <v>189.3285</v>
      </c>
      <c r="AB15" s="0" t="n">
        <v>2000</v>
      </c>
      <c r="AC15" s="0" t="n">
        <v>6</v>
      </c>
      <c r="AD15" s="0" t="n">
        <v>30</v>
      </c>
      <c r="AE15" s="9" t="n">
        <v>0.784950625</v>
      </c>
    </row>
    <row r="100" customFormat="false" ht="12.75" hidden="false" customHeight="false" outlineLevel="0" collapsed="false">
      <c r="A100" s="8" t="s">
        <v>41</v>
      </c>
      <c r="B100" s="8"/>
    </row>
    <row r="102" customFormat="false" ht="12.75" hidden="false" customHeight="false" outlineLevel="0" collapsed="false">
      <c r="B102" s="0" t="s">
        <v>42</v>
      </c>
    </row>
    <row r="103" customFormat="false" ht="12.75" hidden="false" customHeight="false" outlineLevel="0" collapsed="false">
      <c r="B103" s="0" t="n">
        <v>0</v>
      </c>
      <c r="C103" s="0" t="n">
        <v>-6198.50400272555</v>
      </c>
      <c r="D103" s="0" t="n">
        <v>3585.21955136511</v>
      </c>
      <c r="E103" s="0" t="n">
        <v>0.0317147954612699</v>
      </c>
      <c r="F103" s="0" t="n">
        <v>-3.85432937956049</v>
      </c>
      <c r="G103" s="0" t="n">
        <v>-5.45584124063721</v>
      </c>
      <c r="H103" s="0" t="n">
        <v>4.53481276694242</v>
      </c>
      <c r="J103" s="0" t="n">
        <f aca="false">C103-O103</f>
        <v>0.0029564204514827</v>
      </c>
      <c r="K103" s="0" t="n">
        <f aca="false">D103-P103</f>
        <v>0.00458975811397977</v>
      </c>
      <c r="L103" s="0" t="n">
        <f aca="false">E103-Q103</f>
        <v>-0.0180112435387301</v>
      </c>
      <c r="M103" s="0" t="s">
        <v>43</v>
      </c>
      <c r="O103" s="0" t="n">
        <v>-6198.506959146</v>
      </c>
      <c r="P103" s="0" t="n">
        <v>3585.214961607</v>
      </c>
      <c r="Q103" s="0" t="n">
        <v>0.049726039</v>
      </c>
      <c r="R103" s="0" t="n">
        <v>-3.5928818014</v>
      </c>
      <c r="S103" s="0" t="n">
        <v>-5.0038542249</v>
      </c>
      <c r="T103" s="0" t="n">
        <v>4.5348020363</v>
      </c>
    </row>
    <row r="104" customFormat="false" ht="12.75" hidden="false" customHeight="false" outlineLevel="0" collapsed="false">
      <c r="B104" s="0" t="n">
        <v>360</v>
      </c>
      <c r="C104" s="0" t="n">
        <v>7990.87453293059</v>
      </c>
      <c r="D104" s="0" t="n">
        <v>1280.05111046292</v>
      </c>
      <c r="E104" s="0" t="n">
        <v>-3536.19167433032</v>
      </c>
      <c r="F104" s="0" t="n">
        <v>-3.15379215602083</v>
      </c>
      <c r="G104" s="0" t="n">
        <v>5.45679790567497</v>
      </c>
      <c r="H104" s="0" t="n">
        <v>-2.09394464430022</v>
      </c>
    </row>
    <row r="105" customFormat="false" ht="12.75" hidden="false" customHeight="false" outlineLevel="0" collapsed="false">
      <c r="B105" s="0" t="n">
        <v>720</v>
      </c>
      <c r="C105" s="0" t="n">
        <v>4653.48903824781</v>
      </c>
      <c r="D105" s="0" t="n">
        <v>-8479.99396255823</v>
      </c>
      <c r="E105" s="0" t="n">
        <v>3260.28606121772</v>
      </c>
      <c r="F105" s="0" t="n">
        <v>4.83197798852269</v>
      </c>
      <c r="G105" s="0" t="n">
        <v>1.43337875404276</v>
      </c>
      <c r="H105" s="0" t="n">
        <v>-2.55732728299977</v>
      </c>
    </row>
    <row r="106" customFormat="false" ht="12.75" hidden="false" customHeight="false" outlineLevel="0" collapsed="false">
      <c r="B106" s="0" t="n">
        <v>1080</v>
      </c>
      <c r="C106" s="0" t="n">
        <v>-6717.79858989298</v>
      </c>
      <c r="D106" s="0" t="n">
        <v>-2461.40247416584</v>
      </c>
      <c r="E106" s="0" t="n">
        <v>3863.87627892131</v>
      </c>
      <c r="F106" s="0" t="n">
        <v>2.32503550411936</v>
      </c>
      <c r="G106" s="0" t="n">
        <v>-6.23966684983906</v>
      </c>
      <c r="H106" s="0" t="n">
        <v>2.74486284492086</v>
      </c>
    </row>
    <row r="107" customFormat="false" ht="12.75" hidden="false" customHeight="false" outlineLevel="0" collapsed="false">
      <c r="B107" s="0" t="n">
        <v>1440</v>
      </c>
      <c r="C107" s="0" t="n">
        <v>2905.54100870199</v>
      </c>
      <c r="D107" s="0" t="n">
        <v>5632.83636338752</v>
      </c>
      <c r="E107" s="0" t="n">
        <v>-4294.03551022917</v>
      </c>
      <c r="F107" s="0" t="n">
        <v>-6.99789302347621</v>
      </c>
      <c r="G107" s="0" t="n">
        <v>2.82928049265021</v>
      </c>
      <c r="H107" s="0" t="n">
        <v>0.989870467007209</v>
      </c>
    </row>
    <row r="108" customFormat="false" ht="12.75" hidden="false" customHeight="false" outlineLevel="0" collapsed="false">
      <c r="B108" s="0" t="n">
        <v>1800</v>
      </c>
      <c r="C108" s="0" t="n">
        <v>8263.99606916115</v>
      </c>
      <c r="D108" s="0" t="n">
        <v>-5768.31974840084</v>
      </c>
      <c r="E108" s="0" t="n">
        <v>124.119230061021</v>
      </c>
      <c r="F108" s="0" t="n">
        <v>2.35696142637199</v>
      </c>
      <c r="G108" s="0" t="n">
        <v>4.12018855243624</v>
      </c>
      <c r="H108" s="0" t="n">
        <v>-3.22735197526837</v>
      </c>
    </row>
    <row r="109" customFormat="false" ht="12.75" hidden="false" customHeight="false" outlineLevel="0" collapsed="false">
      <c r="B109" s="0" t="n">
        <v>2160</v>
      </c>
      <c r="C109" s="0" t="n">
        <v>-2672.80035382066</v>
      </c>
      <c r="D109" s="0" t="n">
        <v>-7273.7690073514</v>
      </c>
      <c r="E109" s="0" t="n">
        <v>5110.01541124829</v>
      </c>
      <c r="F109" s="0" t="n">
        <v>5.2959257647609</v>
      </c>
      <c r="G109" s="0" t="n">
        <v>-3.41254231057302</v>
      </c>
      <c r="H109" s="0" t="n">
        <v>-0.139144836870256</v>
      </c>
    </row>
    <row r="110" customFormat="false" ht="12.75" hidden="false" customHeight="false" outlineLevel="0" collapsed="false">
      <c r="B110" s="0" t="n">
        <v>2520</v>
      </c>
      <c r="C110" s="0" t="n">
        <v>-3997.17456625443</v>
      </c>
      <c r="D110" s="0" t="n">
        <v>5578.4358229806</v>
      </c>
      <c r="E110" s="0" t="n">
        <v>-1518.83092288128</v>
      </c>
      <c r="F110" s="0" t="n">
        <v>-6.16283637702963</v>
      </c>
      <c r="G110" s="0" t="n">
        <v>-3.31656395566489</v>
      </c>
      <c r="H110" s="0" t="n">
        <v>4.27683869047853</v>
      </c>
    </row>
    <row r="111" customFormat="false" ht="12.75" hidden="false" customHeight="false" outlineLevel="0" collapsed="false">
      <c r="B111" s="0" t="n">
        <v>2880</v>
      </c>
      <c r="C111" s="0" t="n">
        <v>8806.84125168437</v>
      </c>
      <c r="D111" s="0" t="n">
        <v>-970.419993688567</v>
      </c>
      <c r="E111" s="0" t="n">
        <v>-3007.03003959931</v>
      </c>
      <c r="F111" s="0" t="n">
        <v>-1.35043659228876</v>
      </c>
      <c r="G111" s="0" t="n">
        <v>5.55851359086046</v>
      </c>
      <c r="H111" s="0" t="n">
        <v>-2.51533124343713</v>
      </c>
    </row>
    <row r="112" customFormat="false" ht="12.75" hidden="false" customHeight="false" outlineLevel="0" collapsed="false">
      <c r="B112" s="0" t="n">
        <v>3240</v>
      </c>
      <c r="C112" s="0" t="n">
        <v>2703.85133516572</v>
      </c>
      <c r="D112" s="0" t="n">
        <v>-8918.67313859338</v>
      </c>
      <c r="E112" s="0" t="n">
        <v>3747.4068262582</v>
      </c>
      <c r="F112" s="0" t="n">
        <v>5.3129285728366</v>
      </c>
      <c r="G112" s="0" t="n">
        <v>0.0961495771608875</v>
      </c>
      <c r="H112" s="0" t="n">
        <v>-2.22939015720722</v>
      </c>
    </row>
    <row r="113" customFormat="false" ht="12.75" hidden="false" customHeight="false" outlineLevel="0" collapsed="false">
      <c r="B113" s="0" t="n">
        <v>3600</v>
      </c>
      <c r="C113" s="0" t="n">
        <v>-7043.63686814008</v>
      </c>
      <c r="D113" s="0" t="n">
        <v>279.702694423457</v>
      </c>
      <c r="E113" s="0" t="n">
        <v>2783.5478179082</v>
      </c>
      <c r="F113" s="0" t="n">
        <v>0.00502775669450674</v>
      </c>
      <c r="G113" s="0" t="n">
        <v>-6.7633823729324</v>
      </c>
      <c r="H113" s="0" t="n">
        <v>3.64473331657286</v>
      </c>
    </row>
    <row r="114" customFormat="false" ht="12.75" hidden="false" customHeight="false" outlineLevel="0" collapsed="false">
      <c r="B114" s="0" t="n">
        <v>3960</v>
      </c>
      <c r="C114" s="0" t="n">
        <v>5428.05313695086</v>
      </c>
      <c r="D114" s="0" t="n">
        <v>4189.16918276065</v>
      </c>
      <c r="E114" s="0" t="n">
        <v>-4533.48923912798</v>
      </c>
      <c r="F114" s="0" t="n">
        <v>-5.50447570925994</v>
      </c>
      <c r="G114" s="0" t="n">
        <v>4.52836089731982</v>
      </c>
      <c r="H114" s="0" t="n">
        <v>-0.0823935294975519</v>
      </c>
    </row>
    <row r="115" customFormat="false" ht="12.75" hidden="false" customHeight="false" outlineLevel="0" collapsed="false">
      <c r="B115" s="0" t="n">
        <v>4320</v>
      </c>
      <c r="C115" s="0" t="n">
        <v>7079.61178848756</v>
      </c>
      <c r="D115" s="0" t="n">
        <v>-7326.31101500782</v>
      </c>
      <c r="E115" s="0" t="n">
        <v>813.700612328314</v>
      </c>
      <c r="F115" s="0" t="n">
        <v>3.43669664617623</v>
      </c>
      <c r="G115" s="0" t="n">
        <v>3.17340038659076</v>
      </c>
      <c r="H115" s="0" t="n">
        <v>-3.15734801112354</v>
      </c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3" activeCellId="0" sqref="I3"/>
    </sheetView>
  </sheetViews>
  <sheetFormatPr defaultRowHeight="12.75" zeroHeight="false" outlineLevelRow="0" outlineLevelCol="0"/>
  <cols>
    <col collapsed="false" customWidth="true" hidden="false" outlineLevel="0" max="1025" min="1" style="0" width="8.67"/>
  </cols>
  <sheetData/>
  <printOptions headings="false" gridLines="false" gridLinesSet="true" horizontalCentered="false" verticalCentered="false"/>
  <pageMargins left="0.75" right="0.75" top="1" bottom="1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7607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2009-02-09T16:41:33Z</dcterms:created>
  <dc:creator>Vallado, David</dc:creator>
  <dc:description/>
  <dc:language>en-US</dc:language>
  <cp:lastModifiedBy/>
  <dcterms:modified xsi:type="dcterms:W3CDTF">2019-04-18T22:25:01Z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